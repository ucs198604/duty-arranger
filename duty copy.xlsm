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duty-arranger/"/>
    </mc:Choice>
  </mc:AlternateContent>
  <xr:revisionPtr revIDLastSave="0" documentId="13_ncr:1_{26647557-5FDB-7B4D-8F56-6DC629959611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<sst xmlns="http://schemas.openxmlformats.org/spreadsheetml/2006/main" count="192" uniqueCount="48">
  <si>
    <t>假</t>
  </si>
  <si>
    <t>平</t>
  </si>
  <si>
    <t>類</t>
  </si>
  <si>
    <t>簡</t>
  </si>
  <si>
    <t>v</t>
  </si>
  <si>
    <t>年</t>
  </si>
  <si>
    <t>月</t>
  </si>
  <si>
    <t>x</t>
  </si>
  <si>
    <t>陳4443</t>
  </si>
  <si>
    <t>蔡4603</t>
  </si>
  <si>
    <t>吳4604</t>
  </si>
  <si>
    <t>林4601</t>
  </si>
  <si>
    <t>林4600</t>
  </si>
  <si>
    <t>謝4605</t>
  </si>
  <si>
    <t>洪4602</t>
  </si>
  <si>
    <t>余4428</t>
  </si>
  <si>
    <t>邱4433</t>
  </si>
  <si>
    <t>戴4429</t>
  </si>
  <si>
    <t>林4445</t>
  </si>
  <si>
    <t>李4432</t>
  </si>
  <si>
    <t>邱4448</t>
  </si>
  <si>
    <t>張4446</t>
  </si>
  <si>
    <t>邱4447</t>
  </si>
  <si>
    <t>許4449</t>
  </si>
  <si>
    <t>陳4450</t>
  </si>
  <si>
    <t>林4451</t>
  </si>
  <si>
    <t>楊4452</t>
  </si>
  <si>
    <t>黃4454</t>
  </si>
  <si>
    <t>薛4455</t>
  </si>
  <si>
    <t>林4456</t>
  </si>
  <si>
    <t>彭4457</t>
  </si>
  <si>
    <t>吳4458</t>
  </si>
  <si>
    <t>林4459</t>
  </si>
  <si>
    <t>盧4460</t>
  </si>
  <si>
    <t>黃科穎4454</t>
  </si>
  <si>
    <t>薛富聲4455</t>
  </si>
  <si>
    <t>林珈瑜4456</t>
  </si>
  <si>
    <t>彭煥宇4457</t>
  </si>
  <si>
    <t>吳欣蔚4458</t>
  </si>
  <si>
    <t>林柏廷4459</t>
  </si>
  <si>
    <t>盧靖凱4460</t>
  </si>
  <si>
    <t>林日元 4468</t>
  </si>
  <si>
    <t>黃紹傑 4462</t>
  </si>
  <si>
    <t>盧柏瑞 4467</t>
  </si>
  <si>
    <t>蔡宗翰 4471</t>
  </si>
  <si>
    <t>胡聖偉 4469</t>
  </si>
  <si>
    <t>劉松鈞 4465</t>
  </si>
  <si>
    <t>黃晏廷 4461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</si>
</sst>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3" x14ac:knownFonts="1">
    <font>
      <sz val="10"/>
      <color indexed="8"/>
      <name val="Helvetica Neue"/>
    </font>
    <font>
      <sz val="10"/>
      <color indexed="8"/>
      <name val="Helvetica Neue"/>
      <family val="2"/>
    </font>
    <font>
      <sz val="14"/>
      <color rgb="FF141414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9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  <xf numFmtId="0" fontId="1" fillId="0" borderId="0" xfId="0" quotePrefix="1" applyFont="1" applyAlignment="1">
      <alignment vertical="top" wrapText="1"/>
    </xf>
    <xf numFmtId="0" fontId="2" fillId="0" borderId="0" xfId="0" applyFont="1" applyAlignment="1">
      <alignment vertical="top" wrapText="1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54"/>
  <sheetViews>
    <sheetView tabSelected="1" zoomScale="166" workbookViewId="0">
      <pane ySplit="5" topLeftCell="A50" activePane="bottomLeft" state="frozen"/>
      <selection pane="bottomLeft" activeCell="P53" sqref="P53"/>
    </sheetView>
  </sheetViews>
  <sheetFormatPr baseColWidth="10" defaultRowHeight="13" x14ac:dyDescent="0.15"/>
  <cols>
    <col min="2" max="2" width="4.33203125" customWidth="1"/>
    <col min="3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10</v>
      </c>
      <c r="B2" s="1" t="s">
        <v>6</v>
      </c>
      <c r="F2" s="6" t="str">
        <f t="shared" ref="F2:AK2" si="0">IF(F1&lt;&gt;"",CHOOSE(WEEKDAY(DATE($A$1,$A$2,F1),1),"日","一","二","三","四","五","六"),"")</f>
        <v>四</v>
      </c>
      <c r="G2" s="6" t="str">
        <f t="shared" si="0"/>
        <v>五</v>
      </c>
      <c r="H2" s="6" t="str">
        <f t="shared" si="0"/>
        <v>六</v>
      </c>
      <c r="I2" s="6" t="str">
        <f t="shared" si="0"/>
        <v>日</v>
      </c>
      <c r="J2" s="6" t="str">
        <f t="shared" si="0"/>
        <v>一</v>
      </c>
      <c r="K2" s="6" t="str">
        <f t="shared" si="0"/>
        <v>二</v>
      </c>
      <c r="L2" s="6" t="str">
        <f t="shared" si="0"/>
        <v>三</v>
      </c>
      <c r="M2" s="6" t="str">
        <f t="shared" si="0"/>
        <v>四</v>
      </c>
      <c r="N2" s="6" t="str">
        <f t="shared" si="0"/>
        <v>五</v>
      </c>
      <c r="O2" s="6" t="str">
        <f t="shared" si="0"/>
        <v>六</v>
      </c>
      <c r="P2" s="6" t="str">
        <f t="shared" si="0"/>
        <v>日</v>
      </c>
      <c r="Q2" s="6" t="str">
        <f t="shared" si="0"/>
        <v>一</v>
      </c>
      <c r="R2" s="6" t="str">
        <f t="shared" si="0"/>
        <v>二</v>
      </c>
      <c r="S2" s="6" t="str">
        <f t="shared" si="0"/>
        <v>三</v>
      </c>
      <c r="T2" s="6" t="str">
        <f t="shared" si="0"/>
        <v>四</v>
      </c>
      <c r="U2" s="6" t="str">
        <f t="shared" si="0"/>
        <v>五</v>
      </c>
      <c r="V2" s="6" t="str">
        <f t="shared" si="0"/>
        <v>六</v>
      </c>
      <c r="W2" s="6" t="str">
        <f t="shared" si="0"/>
        <v>日</v>
      </c>
      <c r="X2" s="6" t="str">
        <f t="shared" si="0"/>
        <v>一</v>
      </c>
      <c r="Y2" s="6" t="str">
        <f t="shared" si="0"/>
        <v>二</v>
      </c>
      <c r="Z2" s="6" t="str">
        <f t="shared" si="0"/>
        <v>三</v>
      </c>
      <c r="AA2" s="6" t="str">
        <f t="shared" si="0"/>
        <v>四</v>
      </c>
      <c r="AB2" s="6" t="str">
        <f t="shared" si="0"/>
        <v>五</v>
      </c>
      <c r="AC2" s="6" t="str">
        <f t="shared" si="0"/>
        <v>六</v>
      </c>
      <c r="AD2" s="6" t="str">
        <f t="shared" si="0"/>
        <v>日</v>
      </c>
      <c r="AE2" s="6" t="str">
        <f t="shared" si="0"/>
        <v>一</v>
      </c>
      <c r="AF2" s="6" t="str">
        <f t="shared" si="0"/>
        <v>二</v>
      </c>
      <c r="AG2" s="6" t="str">
        <f t="shared" si="0"/>
        <v>三</v>
      </c>
      <c r="AH2" s="6" t="str">
        <f t="shared" si="0"/>
        <v>四</v>
      </c>
      <c r="AI2" s="6" t="str">
        <f t="shared" si="0"/>
        <v>五</v>
      </c>
      <c r="AJ2" s="6" t="str">
        <f t="shared" si="0"/>
        <v>六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4</v>
      </c>
      <c r="G3" s="2" t="str">
        <f t="shared" ref="G3:AJ3" si="1">IF(G2&lt;&gt;"",CHOOSE(WEEKDAY(DATE($A$1,$A$2,G1),1),"7","1","2","3","4","5","6"),"")</f>
        <v>5</v>
      </c>
      <c r="H3" s="2" t="str">
        <f t="shared" si="1"/>
        <v>6</v>
      </c>
      <c r="I3" s="2" t="str">
        <f t="shared" si="1"/>
        <v>7</v>
      </c>
      <c r="J3" s="2" t="str">
        <f t="shared" si="1"/>
        <v>1</v>
      </c>
      <c r="K3" s="2" t="str">
        <f t="shared" si="1"/>
        <v>2</v>
      </c>
      <c r="L3" s="2" t="str">
        <f t="shared" si="1"/>
        <v>3</v>
      </c>
      <c r="M3" s="2" t="str">
        <f t="shared" si="1"/>
        <v>4</v>
      </c>
      <c r="N3" s="2" t="str">
        <f t="shared" si="1"/>
        <v>5</v>
      </c>
      <c r="O3" s="2" t="str">
        <f t="shared" si="1"/>
        <v>6</v>
      </c>
      <c r="P3" s="2" t="str">
        <f t="shared" si="1"/>
        <v>7</v>
      </c>
      <c r="Q3" s="2" t="str">
        <f t="shared" si="1"/>
        <v>1</v>
      </c>
      <c r="R3" s="2" t="str">
        <f t="shared" si="1"/>
        <v>2</v>
      </c>
      <c r="S3" s="2" t="str">
        <f t="shared" si="1"/>
        <v>3</v>
      </c>
      <c r="T3" s="2" t="str">
        <f t="shared" si="1"/>
        <v>4</v>
      </c>
      <c r="U3" s="2" t="str">
        <f t="shared" si="1"/>
        <v>5</v>
      </c>
      <c r="V3" s="2" t="str">
        <f t="shared" si="1"/>
        <v>6</v>
      </c>
      <c r="W3" s="2" t="str">
        <f t="shared" si="1"/>
        <v>7</v>
      </c>
      <c r="X3" s="2" t="str">
        <f t="shared" si="1"/>
        <v>1</v>
      </c>
      <c r="Y3" s="2" t="str">
        <f t="shared" si="1"/>
        <v>2</v>
      </c>
      <c r="Z3" s="2" t="str">
        <f t="shared" si="1"/>
        <v>3</v>
      </c>
      <c r="AA3" s="2" t="str">
        <f t="shared" si="1"/>
        <v>4</v>
      </c>
      <c r="AB3" s="2" t="str">
        <f t="shared" si="1"/>
        <v>5</v>
      </c>
      <c r="AC3" s="2" t="str">
        <f t="shared" si="1"/>
        <v>6</v>
      </c>
      <c r="AD3" s="2" t="str">
        <f t="shared" si="1"/>
        <v>7</v>
      </c>
      <c r="AE3" s="2" t="str">
        <f t="shared" si="1"/>
        <v>1</v>
      </c>
      <c r="AF3" s="2" t="str">
        <f t="shared" si="1"/>
        <v>2</v>
      </c>
      <c r="AG3" s="2" t="str">
        <f t="shared" si="1"/>
        <v>3</v>
      </c>
      <c r="AH3" s="2" t="str">
        <f t="shared" si="1"/>
        <v>4</v>
      </c>
      <c r="AI3" s="2" t="str">
        <f t="shared" si="1"/>
        <v>5</v>
      </c>
      <c r="AJ3" s="2" t="str">
        <f t="shared" si="1"/>
        <v>6</v>
      </c>
    </row>
    <row r="4" spans="1:37" ht="14" x14ac:dyDescent="0.15">
      <c r="F4" s="3"/>
      <c r="G4" s="3"/>
      <c r="H4" s="3" t="s">
        <v>4</v>
      </c>
      <c r="I4" s="3" t="s">
        <v>4</v>
      </c>
      <c r="J4" s="3"/>
      <c r="K4" s="3"/>
      <c r="L4" s="3"/>
      <c r="M4" s="3"/>
      <c r="N4" s="3"/>
      <c r="O4" s="3" t="s">
        <v>4</v>
      </c>
      <c r="P4" s="3" t="s">
        <v>4</v>
      </c>
      <c r="Q4" s="3"/>
      <c r="R4" s="3"/>
      <c r="S4" s="3"/>
      <c r="T4" s="3"/>
      <c r="U4" s="3"/>
      <c r="V4" s="3" t="s">
        <v>4</v>
      </c>
      <c r="W4" s="3" t="s">
        <v>4</v>
      </c>
      <c r="X4" s="4"/>
      <c r="Y4" s="3"/>
      <c r="Z4" s="3"/>
      <c r="AA4" s="3"/>
      <c r="AB4" s="3"/>
      <c r="AC4" s="3" t="s">
        <v>4</v>
      </c>
      <c r="AD4" s="3" t="s">
        <v>4</v>
      </c>
      <c r="AE4" s="3"/>
      <c r="AF4" s="3"/>
      <c r="AG4" s="3"/>
      <c r="AH4" s="3"/>
      <c r="AI4" s="3"/>
      <c r="AJ4" s="3" t="s">
        <v>4</v>
      </c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  <c r="AF6">
        <v>1</v>
      </c>
      <c r="AI6">
        <v>1</v>
      </c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G8">
        <v>1</v>
      </c>
      <c r="J8" s="1"/>
      <c r="L8">
        <v>1</v>
      </c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/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F21">
        <v>1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F27">
        <v>0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F28">
        <v>0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F29">
        <v>0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/>
      <c r="V34" s="1" t="s">
        <v>7</v>
      </c>
      <c r="W34" s="1" t="s">
        <v>7</v>
      </c>
      <c r="X34" s="1" t="s">
        <v>7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7"/>
      <c r="O35" s="1" t="s">
        <v>7</v>
      </c>
      <c r="P35" s="1" t="s">
        <v>7</v>
      </c>
      <c r="Q35" s="1" t="s">
        <v>7</v>
      </c>
      <c r="V35" s="1"/>
      <c r="W35" s="1" t="s">
        <v>7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P38">
        <v>1</v>
      </c>
      <c r="AC38" s="1" t="s">
        <v>7</v>
      </c>
      <c r="AD38" s="1" t="s">
        <v>7</v>
      </c>
      <c r="AE38" s="1" t="s">
        <v>7</v>
      </c>
      <c r="AJ38">
        <v>1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J40" s="1" t="s">
        <v>7</v>
      </c>
      <c r="AJ40" s="1" t="s">
        <v>7</v>
      </c>
    </row>
    <row r="41" spans="1:36" ht="40" x14ac:dyDescent="0.15">
      <c r="A41" s="8" t="s">
        <v>34</v>
      </c>
      <c r="B41" s="8">
        <v>21</v>
      </c>
      <c r="C41">
        <v>0</v>
      </c>
      <c r="D41">
        <v>1</v>
      </c>
      <c r="E41">
        <v>2</v>
      </c>
      <c r="F41">
        <v>3</v>
      </c>
      <c r="J41">
        <v>0</v>
      </c>
      <c r="K41">
        <v>0</v>
      </c>
      <c r="L41">
        <v>0</v>
      </c>
      <c r="M41">
        <v>0</v>
      </c>
      <c r="Q41">
        <v>0</v>
      </c>
      <c r="R41">
        <v>0</v>
      </c>
      <c r="S41">
        <v>0</v>
      </c>
      <c r="T41">
        <v>0</v>
      </c>
      <c r="U41">
        <v>3</v>
      </c>
      <c r="V41">
        <v>0</v>
      </c>
      <c r="X41">
        <v>0</v>
      </c>
      <c r="Y41">
        <v>0</v>
      </c>
      <c r="Z41">
        <v>0</v>
      </c>
      <c r="AA41">
        <v>0</v>
      </c>
      <c r="AB41">
        <v>0</v>
      </c>
      <c r="AD41">
        <v>3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</row>
    <row r="42" spans="1:36" ht="40" x14ac:dyDescent="0.15">
      <c r="A42" s="8" t="s">
        <v>35</v>
      </c>
      <c r="B42" s="8">
        <v>22</v>
      </c>
      <c r="C42">
        <v>0</v>
      </c>
      <c r="D42">
        <v>1</v>
      </c>
      <c r="E42">
        <v>2</v>
      </c>
      <c r="G42">
        <v>3</v>
      </c>
      <c r="H42">
        <v>0</v>
      </c>
      <c r="I42">
        <v>0</v>
      </c>
      <c r="K42">
        <v>0</v>
      </c>
      <c r="L42">
        <v>3</v>
      </c>
      <c r="M42">
        <v>0</v>
      </c>
      <c r="O42">
        <v>0</v>
      </c>
      <c r="P42">
        <v>0</v>
      </c>
      <c r="R42">
        <v>0</v>
      </c>
      <c r="T42">
        <v>0</v>
      </c>
      <c r="U42">
        <v>0</v>
      </c>
      <c r="V42">
        <v>0</v>
      </c>
      <c r="W42">
        <v>0</v>
      </c>
      <c r="Y42">
        <v>0</v>
      </c>
      <c r="AA42">
        <v>0</v>
      </c>
      <c r="AD42">
        <v>0</v>
      </c>
      <c r="AF42">
        <v>0</v>
      </c>
      <c r="AG42">
        <v>3</v>
      </c>
      <c r="AH42">
        <v>0</v>
      </c>
    </row>
    <row r="43" spans="1:36" ht="40" x14ac:dyDescent="0.15">
      <c r="A43" s="8" t="s">
        <v>36</v>
      </c>
      <c r="B43" s="8">
        <v>23</v>
      </c>
      <c r="C43">
        <v>0</v>
      </c>
      <c r="D43">
        <v>1</v>
      </c>
      <c r="E43">
        <v>2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3</v>
      </c>
      <c r="AE43">
        <v>0</v>
      </c>
      <c r="AF43">
        <v>0</v>
      </c>
      <c r="AG43">
        <v>0</v>
      </c>
      <c r="AH43">
        <v>0</v>
      </c>
    </row>
    <row r="44" spans="1:36" ht="40" x14ac:dyDescent="0.15">
      <c r="A44" s="8" t="s">
        <v>37</v>
      </c>
      <c r="B44" s="8">
        <v>24</v>
      </c>
      <c r="C44">
        <v>0</v>
      </c>
      <c r="D44">
        <v>1</v>
      </c>
      <c r="E44">
        <v>2</v>
      </c>
      <c r="H44">
        <v>3</v>
      </c>
      <c r="J44">
        <v>0</v>
      </c>
      <c r="K44">
        <v>3</v>
      </c>
      <c r="L44">
        <v>0</v>
      </c>
      <c r="M44">
        <v>0</v>
      </c>
      <c r="Q44">
        <v>0</v>
      </c>
      <c r="S44">
        <v>0</v>
      </c>
      <c r="T44">
        <v>0</v>
      </c>
      <c r="V44">
        <v>0</v>
      </c>
      <c r="W44">
        <v>0</v>
      </c>
      <c r="X44">
        <v>0</v>
      </c>
      <c r="Z44">
        <v>0</v>
      </c>
      <c r="AA44">
        <v>0</v>
      </c>
      <c r="AC44">
        <v>0</v>
      </c>
      <c r="AD44">
        <v>0</v>
      </c>
      <c r="AE44">
        <v>0</v>
      </c>
      <c r="AF44">
        <v>3</v>
      </c>
      <c r="AG44">
        <v>0</v>
      </c>
      <c r="AH44">
        <v>0</v>
      </c>
      <c r="AJ44">
        <v>0</v>
      </c>
    </row>
    <row r="45" spans="1:36" ht="40" x14ac:dyDescent="0.15">
      <c r="A45" s="8" t="s">
        <v>38</v>
      </c>
      <c r="B45" s="8">
        <v>25</v>
      </c>
      <c r="C45">
        <v>0</v>
      </c>
      <c r="D45">
        <v>1</v>
      </c>
      <c r="E45">
        <v>2</v>
      </c>
      <c r="I45">
        <v>3</v>
      </c>
      <c r="J45">
        <v>0</v>
      </c>
      <c r="K45">
        <v>0</v>
      </c>
      <c r="M45">
        <v>0</v>
      </c>
      <c r="Q45">
        <v>0</v>
      </c>
      <c r="R45">
        <v>0</v>
      </c>
      <c r="T45">
        <v>0</v>
      </c>
      <c r="X45">
        <v>0</v>
      </c>
      <c r="Y45">
        <v>0</v>
      </c>
      <c r="Z45">
        <v>3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H45">
        <v>0</v>
      </c>
    </row>
    <row r="46" spans="1:36" ht="40" x14ac:dyDescent="0.15">
      <c r="A46" s="8" t="s">
        <v>39</v>
      </c>
      <c r="B46" s="8">
        <v>26</v>
      </c>
      <c r="C46">
        <v>0</v>
      </c>
      <c r="D46">
        <v>1</v>
      </c>
      <c r="E46">
        <v>2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O46">
        <v>3</v>
      </c>
      <c r="P46">
        <v>3</v>
      </c>
      <c r="Q46">
        <v>3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</row>
    <row r="47" spans="1:36" ht="40" x14ac:dyDescent="0.15">
      <c r="A47" s="8" t="s">
        <v>40</v>
      </c>
      <c r="B47" s="8">
        <v>27</v>
      </c>
      <c r="C47">
        <v>0</v>
      </c>
      <c r="D47">
        <v>1</v>
      </c>
      <c r="E47">
        <v>2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Q47">
        <v>0</v>
      </c>
      <c r="R47">
        <v>0</v>
      </c>
      <c r="S47">
        <v>0</v>
      </c>
      <c r="T47">
        <v>0</v>
      </c>
      <c r="V47">
        <v>3</v>
      </c>
      <c r="W47">
        <v>0</v>
      </c>
      <c r="X47">
        <v>0</v>
      </c>
      <c r="Y47">
        <v>0</v>
      </c>
      <c r="Z47">
        <v>0</v>
      </c>
      <c r="AA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3</v>
      </c>
    </row>
    <row r="48" spans="1:36" ht="40" x14ac:dyDescent="0.15">
      <c r="A48" s="8" t="s">
        <v>41</v>
      </c>
      <c r="B48" s="8">
        <v>11</v>
      </c>
      <c r="C48">
        <v>0</v>
      </c>
      <c r="D48">
        <v>1</v>
      </c>
      <c r="E48">
        <v>2</v>
      </c>
      <c r="I48">
        <v>0</v>
      </c>
      <c r="J48">
        <v>0</v>
      </c>
      <c r="L48">
        <v>0</v>
      </c>
      <c r="M48">
        <v>0</v>
      </c>
      <c r="N48">
        <v>3</v>
      </c>
      <c r="P48">
        <v>0</v>
      </c>
      <c r="Q48">
        <v>0</v>
      </c>
      <c r="R48">
        <v>3</v>
      </c>
      <c r="S48">
        <v>0</v>
      </c>
      <c r="T48">
        <v>0</v>
      </c>
      <c r="W48">
        <v>0</v>
      </c>
      <c r="X48">
        <v>0</v>
      </c>
      <c r="Z48">
        <v>0</v>
      </c>
      <c r="AA48">
        <v>0</v>
      </c>
      <c r="AD48">
        <v>0</v>
      </c>
      <c r="AE48">
        <v>0</v>
      </c>
      <c r="AG48">
        <v>0</v>
      </c>
      <c r="AH48">
        <v>0</v>
      </c>
    </row>
    <row r="49" spans="1:35" ht="40" x14ac:dyDescent="0.15">
      <c r="A49" s="8" t="s">
        <v>42</v>
      </c>
      <c r="B49" s="8">
        <v>12</v>
      </c>
      <c r="C49">
        <v>0</v>
      </c>
      <c r="D49">
        <v>1</v>
      </c>
      <c r="E49">
        <v>2</v>
      </c>
      <c r="F49">
        <v>0</v>
      </c>
      <c r="G49">
        <v>0</v>
      </c>
      <c r="H49">
        <v>0</v>
      </c>
      <c r="J49">
        <v>0</v>
      </c>
      <c r="K49">
        <v>0</v>
      </c>
      <c r="L49">
        <v>0</v>
      </c>
      <c r="Q49">
        <v>0</v>
      </c>
      <c r="R49">
        <v>0</v>
      </c>
      <c r="S49">
        <v>0</v>
      </c>
      <c r="T49">
        <v>3</v>
      </c>
      <c r="W49">
        <v>3</v>
      </c>
      <c r="X49">
        <v>0</v>
      </c>
      <c r="Y49">
        <v>0</v>
      </c>
      <c r="Z49">
        <v>0</v>
      </c>
      <c r="AA49">
        <v>3</v>
      </c>
      <c r="AF49">
        <v>0</v>
      </c>
      <c r="AG49">
        <v>0</v>
      </c>
      <c r="AH49">
        <v>0</v>
      </c>
    </row>
    <row r="50" spans="1:35" ht="40" x14ac:dyDescent="0.15">
      <c r="A50" s="8" t="s">
        <v>43</v>
      </c>
      <c r="B50" s="8">
        <v>13</v>
      </c>
      <c r="C50">
        <v>0</v>
      </c>
      <c r="D50">
        <v>1</v>
      </c>
      <c r="E50">
        <v>2</v>
      </c>
      <c r="I50">
        <v>0</v>
      </c>
      <c r="L50">
        <v>0</v>
      </c>
      <c r="M50">
        <v>0</v>
      </c>
      <c r="P50">
        <v>0</v>
      </c>
      <c r="S50">
        <v>0</v>
      </c>
      <c r="T50">
        <v>0</v>
      </c>
      <c r="W50">
        <v>0</v>
      </c>
      <c r="Y50">
        <v>3</v>
      </c>
      <c r="Z50">
        <v>0</v>
      </c>
      <c r="AA50">
        <v>0</v>
      </c>
      <c r="AD50">
        <v>0</v>
      </c>
      <c r="AG50">
        <v>0</v>
      </c>
      <c r="AH50">
        <v>0</v>
      </c>
    </row>
    <row r="51" spans="1:35" ht="40" x14ac:dyDescent="0.15">
      <c r="A51" s="8" t="s">
        <v>44</v>
      </c>
      <c r="B51" s="8">
        <v>14</v>
      </c>
      <c r="C51">
        <v>0</v>
      </c>
      <c r="D51">
        <v>1</v>
      </c>
      <c r="E51">
        <v>2</v>
      </c>
      <c r="L51">
        <v>0</v>
      </c>
      <c r="M51">
        <v>0</v>
      </c>
      <c r="P51">
        <v>4</v>
      </c>
      <c r="S51">
        <v>0</v>
      </c>
      <c r="T51">
        <v>0</v>
      </c>
      <c r="V51">
        <v>0</v>
      </c>
      <c r="W51">
        <v>4</v>
      </c>
      <c r="Z51">
        <v>0</v>
      </c>
      <c r="AA51">
        <v>0</v>
      </c>
      <c r="AC51">
        <v>0</v>
      </c>
      <c r="AD51">
        <v>0</v>
      </c>
      <c r="AG51">
        <v>0</v>
      </c>
      <c r="AH51">
        <v>0</v>
      </c>
    </row>
    <row r="52" spans="1:35" ht="40" x14ac:dyDescent="0.15">
      <c r="A52" s="8" t="s">
        <v>45</v>
      </c>
      <c r="B52" s="8">
        <v>15</v>
      </c>
      <c r="C52">
        <v>0</v>
      </c>
      <c r="D52">
        <v>1</v>
      </c>
      <c r="E52">
        <v>2</v>
      </c>
      <c r="I52">
        <v>4</v>
      </c>
      <c r="J52">
        <v>0</v>
      </c>
      <c r="K52">
        <v>0</v>
      </c>
      <c r="L52">
        <v>0</v>
      </c>
      <c r="M52">
        <v>3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D52">
        <v>4</v>
      </c>
      <c r="AE52">
        <v>0</v>
      </c>
      <c r="AF52">
        <v>0</v>
      </c>
      <c r="AG52">
        <v>0</v>
      </c>
      <c r="AH52">
        <v>0</v>
      </c>
      <c r="AI52">
        <v>0</v>
      </c>
    </row>
    <row r="53" spans="1:35" ht="40" x14ac:dyDescent="0.15">
      <c r="A53" s="8" t="s">
        <v>46</v>
      </c>
      <c r="B53" s="8">
        <v>16</v>
      </c>
      <c r="C53">
        <v>0</v>
      </c>
      <c r="D53">
        <v>1</v>
      </c>
      <c r="E53">
        <v>2</v>
      </c>
      <c r="G53">
        <v>0</v>
      </c>
      <c r="H53">
        <v>0</v>
      </c>
      <c r="I53">
        <v>0</v>
      </c>
      <c r="J53">
        <v>3</v>
      </c>
      <c r="K53">
        <v>0</v>
      </c>
      <c r="M53">
        <v>0</v>
      </c>
      <c r="O53">
        <v>0</v>
      </c>
      <c r="P53">
        <v>0</v>
      </c>
      <c r="R53">
        <v>0</v>
      </c>
      <c r="T53">
        <v>0</v>
      </c>
      <c r="W53">
        <v>0</v>
      </c>
      <c r="X53">
        <v>9</v>
      </c>
      <c r="Y53">
        <v>0</v>
      </c>
      <c r="AA53">
        <v>0</v>
      </c>
      <c r="AC53">
        <v>0</v>
      </c>
      <c r="AD53">
        <v>0</v>
      </c>
      <c r="AE53">
        <v>3</v>
      </c>
      <c r="AF53">
        <v>0</v>
      </c>
      <c r="AH53">
        <v>0</v>
      </c>
    </row>
    <row r="54" spans="1:35" ht="40" x14ac:dyDescent="0.15">
      <c r="A54" s="8" t="s">
        <v>47</v>
      </c>
      <c r="B54" s="8">
        <v>17</v>
      </c>
      <c r="C54">
        <v>0</v>
      </c>
      <c r="D54">
        <v>1</v>
      </c>
      <c r="E54">
        <v>2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S54">
        <v>3</v>
      </c>
      <c r="W54">
        <v>0</v>
      </c>
      <c r="X54">
        <v>0</v>
      </c>
      <c r="AC54">
        <v>3</v>
      </c>
      <c r="AD54">
        <v>0</v>
      </c>
      <c r="AE54">
        <v>0</v>
      </c>
      <c r="AH54">
        <v>3</v>
      </c>
    </row>
  </sheetData>
  <conditionalFormatting sqref="F4:AJ4">
    <cfRule type="notContainsBlanks" dxfId="6" priority="17">
      <formula>LEN(TRIM(F4))&gt;0</formula>
    </cfRule>
  </conditionalFormatting>
  <conditionalFormatting sqref="F27:AJ33">
    <cfRule type="containsText" dxfId="5" priority="6" operator="containsText" text="1">
      <formula>NOT(ISERROR(SEARCH("1",F27)))</formula>
    </cfRule>
    <cfRule type="containsText" dxfId="4" priority="7" operator="containsText" text="x">
      <formula>NOT(ISERROR(SEARCH("x",F27)))</formula>
    </cfRule>
  </conditionalFormatting>
  <conditionalFormatting sqref="C1:C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1">
    <cfRule type="cellIs" dxfId="3" priority="3" operator="equal">
      <formula>0</formula>
    </cfRule>
  </conditionalFormatting>
  <conditionalFormatting sqref="F6:AJ100">
    <cfRule type="cellIs" dxfId="2" priority="15" operator="equal">
      <formula>1</formula>
    </cfRule>
    <cfRule type="cellIs" dxfId="1" priority="16" operator="equal">
      <formula>"x"</formula>
    </cfRule>
    <cfRule type="cellIs" dxfId="0" priority="2" operator="equal">
      <formula>0</formula>
    </cfRule>
    <cfRule type="containsBlanks" priority="1" stopIfTrue="1">
      <formula>LEN(TRIM(F6))=0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2020-09-16T11:07:25Z</dcterms:modified>
</cp:coreProperties>
</file>